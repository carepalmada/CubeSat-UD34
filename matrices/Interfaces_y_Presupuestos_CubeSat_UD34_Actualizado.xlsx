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43eeb662604f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erfaces" sheetId="1" r:id="Rc51775bf029a4cf7"/>
    <x:sheet xmlns:r="http://schemas.openxmlformats.org/officeDocument/2006/relationships" name="Presupuesto_Potencia" sheetId="2" r:id="Rbe24522cad5a4d5b"/>
    <x:sheet xmlns:r="http://schemas.openxmlformats.org/officeDocument/2006/relationships" name="Presupuesto_Datos" sheetId="3" r:id="Rc6f98a17913c4e47"/>
    <x:sheet xmlns:r="http://schemas.openxmlformats.org/officeDocument/2006/relationships" name="Masa_Volumen" sheetId="4" r:id="Rc7cba36d6c5a4c4a"/>
    <x:sheet xmlns:r="http://schemas.openxmlformats.org/officeDocument/2006/relationships" name="Fuentes" sheetId="5" r:id="R17ce15ee0a74470b"/>
    <x:sheet xmlns:r="http://schemas.openxmlformats.org/officeDocument/2006/relationships" name="Componentes_Referencia" sheetId="6" r:id="Rf2d8fef6f2cc4a7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.0%"/>
    <x:numFmt numFmtId="202" formatCode="0.000"/>
    <x:numFmt numFmtId="203" formatCode="0.00"/>
    <x:numFmt numFmtId="204" formatCode="0.0"/>
  </x:numFmts>
  <x:fonts count="8">
    <x:font>
      <x:sz val="11"/>
      <x:name val="Carlito"/>
    </x:font>
    <x:font>
      <x:b/>
      <x:sz val="15"/>
      <x:color rgb="FFFFFFFF"/>
      <x:name val="Carlito"/>
    </x:font>
    <x:font>
      <x:i/>
      <x:sz val="10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name val="Carlito"/>
    </x:font>
    <x:font>
      <x:b/>
      <x:sz val="14"/>
      <x:color rgb="FFFFFFFF"/>
      <x:name val="Carlito"/>
    </x:font>
    <x:font>
      <x:b/>
      <x:sz val="11"/>
      <x:color rgb="FF1F1F1F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244062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5" fillId="6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0" fillId="7" borderId="1" xfId="0" applyNumberFormat="1" applyFont="1" applyFill="1" applyBorder="1"/>
    <x:xf numFmtId="0" fontId="3" fillId="7" borderId="1" xfId="0" applyNumberFormat="1" applyFont="1" applyFill="1" applyBorder="1"/>
    <x:xf numFmtId="201" fontId="0" fillId="0" borderId="0" xfId="0" applyNumberFormat="1" applyFont="1" applyFill="1" applyBorder="1"/>
    <x:xf numFmtId="201" fontId="4" fillId="5" borderId="0" xfId="0" applyNumberFormat="1" applyFont="1" applyFill="1" applyBorder="1"/>
    <x:xf numFmtId="201" fontId="0" fillId="0" borderId="1" xfId="0" applyNumberFormat="1" applyFont="1" applyFill="1" applyBorder="1"/>
    <x:xf numFmtId="201" fontId="4" fillId="5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/>
    <x:xf numFmtId="201" fontId="4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4" fillId="5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3" fontId="5" fillId="6" borderId="0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4" fillId="5" borderId="0" xfId="0" applyNumberFormat="1" applyFont="1" applyFill="1" applyBorder="1"/>
    <x:xf numFmtId="203" fontId="4" fillId="5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4" fillId="5" borderId="0" xfId="0" applyNumberFormat="1" applyFont="1" applyFill="1" applyBorder="1"/>
    <x:xf numFmtId="204" fontId="0" fillId="0" borderId="0" xfId="0" applyNumberFormat="1" applyFont="1" applyFill="1" applyBorder="1"/>
    <x:xf numFmtId="204" fontId="4" fillId="5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horizontal="center"/>
    </x:xf>
    <x:xf numFmtId="0" fontId="6" fillId="8" borderId="0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horizontal="center"/>
    </x:xf>
    <x:xf numFmtId="0" fontId="7" fillId="9" borderId="0" xfId="0" applyNumberFormat="1" applyFont="1" applyFill="1" applyBorder="1" applyAlignment="1">
      <x:alignment horizontal="center" vertical="center"/>
    </x:xf>
    <x:xf numFmtId="0" fontId="6" fillId="8" borderId="0" xfId="0" applyNumberFormat="1" applyFont="1" applyFill="1" applyBorder="1" applyAlignment="1">
      <x:alignment horizontal="center" vertical="center" wrapText="1"/>
    </x:xf>
    <x:xf numFmtId="0" fontId="7" fillId="9" borderId="0" xfId="0" applyNumberFormat="1" applyFont="1" applyFill="1" applyBorder="1" applyAlignment="1">
      <x:alignment horizontal="center" vertical="center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7" fillId="3" borderId="0" xfId="0" applyNumberFormat="1" applyFont="1" applyFill="1" applyBorder="1" applyAlignment="1">
      <x:alignment horizontal="center"/>
    </x:xf>
    <x:xf numFmtId="0" fontId="7" fillId="3" borderId="0" xfId="0" applyNumberFormat="1" applyFont="1" applyFill="1" applyBorder="1" applyAlignment="1">
      <x:alignment horizontal="center" vertical="center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3079b7bdd84d92" /><Relationship Type="http://schemas.openxmlformats.org/officeDocument/2006/relationships/theme" Target="/xl/theme/theme1.xml" Id="R8d216c1eb2924fe1" /><Relationship Type="http://schemas.openxmlformats.org/officeDocument/2006/relationships/sharedStrings" Target="/xl/sharedStrings.xml" Id="R83e6c24652e442f4" /><Relationship Type="http://schemas.openxmlformats.org/officeDocument/2006/relationships/worksheet" Target="/xl/worksheets/sheet1.xml" Id="Rc51775bf029a4cf7" /><Relationship Type="http://schemas.openxmlformats.org/officeDocument/2006/relationships/worksheet" Target="/xl/worksheets/sheet2.xml" Id="Rbe24522cad5a4d5b" /><Relationship Type="http://schemas.openxmlformats.org/officeDocument/2006/relationships/worksheet" Target="/xl/worksheets/sheet3.xml" Id="Rc6f98a17913c4e47" /><Relationship Type="http://schemas.openxmlformats.org/officeDocument/2006/relationships/worksheet" Target="/xl/worksheets/sheet4.xml" Id="Rc7cba36d6c5a4c4a" /><Relationship Type="http://schemas.openxmlformats.org/officeDocument/2006/relationships/worksheet" Target="/xl/worksheets/sheet5.xml" Id="R17ce15ee0a74470b" /><Relationship Type="http://schemas.openxmlformats.org/officeDocument/2006/relationships/worksheet" Target="/xl/worksheets/sheet6.xml" Id="Rf2d8fef6f2cc4a75" /></Relationships>
</file>

<file path=xl/tables/table1.xml><?xml version="1.0" encoding="utf-8"?>
<x:table xmlns:x="http://schemas.openxmlformats.org/spreadsheetml/2006/main" id="1" name="InterfacesBudgetTable" displayName="InterfacesBudgetTable" ref="A5:H17" headerRowCount="1" totalsRowCount="0" totalsRowShown="0">
  <x:tableColumns count="8">
    <x:tableColumn id="1" name="ID"/>
    <x:tableColumn id="2" name="Origen"/>
    <x:tableColumn id="3" name="Destino"/>
    <x:tableColumn id="4" name="Función"/>
    <x:tableColumn id="5" name="Señal o protocolo"/>
    <x:tableColumn id="6" name="Características eléctricas preliminares"/>
    <x:tableColumn id="7" name="Tasa o volumen de datos"/>
    <x:tableColumn id="8" name="Observacion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3843a93abb2443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26" hidden="0" customWidth="1"/>
    <x:col min="4" max="4" width="34" hidden="0" customWidth="1"/>
    <x:col min="5" max="5" width="25" hidden="0" customWidth="1"/>
    <x:col min="6" max="6" width="42" hidden="0" customWidth="1"/>
    <x:col min="7" max="7" width="42" hidden="0" customWidth="1"/>
    <x:col min="8" max="8" width="42" hidden="0" customWidth="1"/>
  </x:cols>
  <x:sheetData>
    <x:row r="1" ht="30" customHeight="1">
      <x:c r="A1" s="5" t="str">
        <x:v>INTERFACES PRELIMINARES — CUBESAT UD34</x:v>
      </x:c>
      <x:c r="B1" s="5"/>
      <x:c r="C1" s="5"/>
      <x:c r="D1" s="5"/>
      <x:c r="E1" s="5"/>
      <x:c r="F1" s="5"/>
      <x:c r="G1" s="5"/>
      <x:c r="H1" s="5"/>
    </x:row>
    <x:row r="2">
      <x:c r="A2" s="12" t="str">
        <x:v>Interfaces actualizadas con los componentes de referencia. Los conectores finales, canal RF exacto y detalles de la PCB se cerrarán en la Práctica 4.</x:v>
      </x:c>
      <x:c r="B2" s="12"/>
      <x:c r="C2" s="12"/>
      <x:c r="D2" s="12"/>
      <x:c r="E2" s="12"/>
      <x:c r="F2" s="12"/>
      <x:c r="G2" s="12"/>
      <x:c r="H2" s="12"/>
    </x:row>
    <x:row r="5">
      <x:c r="A5" s="20" t="str">
        <x:v>ID</x:v>
      </x:c>
      <x:c r="B5" s="20" t="str">
        <x:v>Origen</x:v>
      </x:c>
      <x:c r="C5" s="20" t="str">
        <x:v>Destino</x:v>
      </x:c>
      <x:c r="D5" s="20" t="str">
        <x:v>Función</x:v>
      </x:c>
      <x:c r="E5" s="20" t="str">
        <x:v>Señal o protocolo</x:v>
      </x:c>
      <x:c r="F5" s="20" t="str">
        <x:v>Características eléctricas preliminares</x:v>
      </x:c>
      <x:c r="G5" s="20" t="str">
        <x:v>Tasa o volumen de datos</x:v>
      </x:c>
      <x:c r="H5" s="20" t="str">
        <x:v>Observaciones</x:v>
      </x:c>
    </x:row>
    <x:row r="6" ht="54" customHeight="1">
      <x:c r="A6" s="28" t="str">
        <x:v>IF-01</x:v>
      </x:c>
      <x:c r="B6" s="28" t="str">
        <x:v>3× paneles solares 1U</x:v>
      </x:c>
      <x:c r="C6" s="28" t="str">
        <x:v>PCB 1 - EPS</x:v>
      </x:c>
      <x:c r="D6" s="28" t="str">
        <x:v>Entregar energía solar a los MPPT</x:v>
      </x:c>
      <x:c r="E6" s="28" t="str">
        <x:v>DC</x:v>
      </x:c>
      <x:c r="F6" s="28" t="str">
        <x:v>Opción de panel ~5 V; ~2.3 W BOL por panel; un panel por canal MPPT</x:v>
      </x:c>
      <x:c r="G6" s="28" t="str">
        <x:v>Hasta ~6.9 W instalados BOL</x:v>
      </x:c>
      <x:c r="H6" s="28" t="str">
        <x:v>Paneles body-mounted; generación simultánea depende de actitud/iluminación.</x:v>
      </x:c>
    </x:row>
    <x:row r="7" ht="54" customHeight="1">
      <x:c r="A7" s="28" t="str">
        <x:v>IF-02</x:v>
      </x:c>
      <x:c r="B7" s="28" t="str">
        <x:v>Batería Li-ion integrada</x:v>
      </x:c>
      <x:c r="C7" s="28" t="str">
        <x:v>PCB 1 - EPS</x:v>
      </x:c>
      <x:c r="D7" s="28" t="str">
        <x:v>Almacenar y entregar energía</x:v>
      </x:c>
      <x:c r="E7" s="28" t="str">
        <x:v>DC</x:v>
      </x:c>
      <x:c r="F7" s="28" t="str">
        <x:v>ICEPS2 Type A; batería integrada; 22.5 Wh según ficha comercial consultada</x:v>
      </x:c>
      <x:c r="G7" s="28" t="str">
        <x:v>22.5 Wh</x:v>
      </x:c>
      <x:c r="H7" s="28" t="str">
        <x:v>Protección de carga/descarga incluida en la referencia EPS.</x:v>
      </x:c>
    </x:row>
    <x:row r="8" ht="54" customHeight="1">
      <x:c r="A8" s="28" t="str">
        <x:v>IF-03</x:v>
      </x:c>
      <x:c r="B8" s="28" t="str">
        <x:v>PCB 1 - EPS</x:v>
      </x:c>
      <x:c r="C8" s="28" t="str">
        <x:v>PCB 2 - OBC</x:v>
      </x:c>
      <x:c r="D8" s="28" t="str">
        <x:v>Alimentación y housekeeping</x:v>
      </x:c>
      <x:c r="E8" s="28" t="str">
        <x:v>3.3 V + I²C</x:v>
      </x:c>
      <x:c r="F8" s="28" t="str">
        <x:v>Bus 3.3 V para lógica/OBC; I²C para telemetría del EPS</x:v>
      </x:c>
      <x:c r="G8" s="28" t="str">
        <x:v>Datos bajos</x:v>
      </x:c>
      <x:c r="H8" s="28" t="str">
        <x:v>Interfaz entre PCB 1 y PCB 2.</x:v>
      </x:c>
    </x:row>
    <x:row r="9" ht="54" customHeight="1">
      <x:c r="A9" s="28" t="str">
        <x:v>IF-04</x:v>
      </x:c>
      <x:c r="B9" s="28" t="str">
        <x:v>PCB 1 - EPS</x:v>
      </x:c>
      <x:c r="C9" s="28" t="str">
        <x:v>PCB 3 - Comunicaciones</x:v>
      </x:c>
      <x:c r="D9" s="28" t="str">
        <x:v>Alimentar radios</x:v>
      </x:c>
      <x:c r="E9" s="28" t="str">
        <x:v>3.3 V + 5 V</x:v>
      </x:c>
      <x:c r="F9" s="28" t="str">
        <x:v>3.3 V para AX100; 5 V alternativo para HSTX-C</x:v>
      </x:c>
      <x:c r="G9" s="28" t="str">
        <x:v>Pico de comunicaciones &lt; ~8.3 W si ambos TX coincidieran</x:v>
      </x:c>
      <x:c r="H9" s="28" t="str">
        <x:v>La operación evitará transmisiones simultáneas de pico.</x:v>
      </x:c>
    </x:row>
    <x:row r="10" ht="54" customHeight="1">
      <x:c r="A10" s="28" t="str">
        <x:v>IF-05</x:v>
      </x:c>
      <x:c r="B10" s="28" t="str">
        <x:v>PCB 1 - EPS</x:v>
      </x:c>
      <x:c r="C10" s="28" t="str">
        <x:v>MAPIR Survey3N</x:v>
      </x:c>
      <x:c r="D10" s="28" t="str">
        <x:v>Alimentar carga útil</x:v>
      </x:c>
      <x:c r="E10" s="28" t="str">
        <x:v>5 V regulado / adaptación local</x:v>
      </x:c>
      <x:c r="F10" s="28" t="str">
        <x:v>Cámara nominal 5.2 V; 0.30 A idle y 0.33 A capturando</x:v>
      </x:c>
      <x:c r="G10" s="28" t="str">
        <x:v>≈1.56–1.72 W</x:v>
      </x:c>
      <x:c r="H10" s="28" t="str">
        <x:v>Verificar si 5 V es suficiente o incorporar ajuste/boost local.</x:v>
      </x:c>
    </x:row>
    <x:row r="11" ht="54" customHeight="1">
      <x:c r="A11" s="28" t="str">
        <x:v>IF-06</x:v>
      </x:c>
      <x:c r="B11" s="28" t="str">
        <x:v>PCB 1 - EPS</x:v>
      </x:c>
      <x:c r="C11" s="28" t="str">
        <x:v>ADCS</x:v>
      </x:c>
      <x:c r="D11" s="28" t="str">
        <x:v>Alimentar sensores y torquers</x:v>
      </x:c>
      <x:c r="E11" s="28" t="str">
        <x:v>3.3 V + 5 V</x:v>
      </x:c>
      <x:c r="F11" s="28" t="str">
        <x:v>3.3 V sensores; 5 V para 3× CR0002</x:v>
      </x:c>
      <x:c r="G11" s="28" t="str">
        <x:v>≈0.43 W promedio preliminar; ≈2.16 W pico</x:v>
      </x:c>
      <x:c r="H11" s="28" t="str">
        <x:v>Pico considera tres torquers activos y sensores.</x:v>
      </x:c>
    </x:row>
    <x:row r="12" ht="54" customHeight="1">
      <x:c r="A12" s="28" t="str">
        <x:v>IF-07</x:v>
      </x:c>
      <x:c r="B12" s="28" t="str">
        <x:v>MAPIR Survey3N</x:v>
      </x:c>
      <x:c r="C12" s="28" t="str">
        <x:v>PCB 2 - OBC</x:v>
      </x:c>
      <x:c r="D12" s="28" t="str">
        <x:v>Disparo y recuperación de imágenes</x:v>
      </x:c>
      <x:c r="E12" s="28" t="str">
        <x:v>PWM + USB</x:v>
      </x:c>
      <x:c r="F12" s="28" t="str">
        <x:v>PWM de disparo; USB para montar/acceder a la memoria de la cámara</x:v>
      </x:c>
      <x:c r="G12" s="28" t="str">
        <x:v>≈29.1 MB por RAW+JPG</x:v>
      </x:c>
      <x:c r="H12" s="28" t="str">
        <x:v>Estimación desde 64 GB ≈ 2200 capturas RAW+JPG del fabricante.</x:v>
      </x:c>
    </x:row>
    <x:row r="13" ht="54" customHeight="1">
      <x:c r="A13" s="28" t="str">
        <x:v>IF-08</x:v>
      </x:c>
      <x:c r="B13" s="28" t="str">
        <x:v>ISM330DHCX</x:v>
      </x:c>
      <x:c r="C13" s="28" t="str">
        <x:v>PCB 2 - OBC</x:v>
      </x:c>
      <x:c r="D13" s="28" t="str">
        <x:v>Aceleración y velocidad angular</x:v>
      </x:c>
      <x:c r="E13" s="28" t="str">
        <x:v>SPI o I²C</x:v>
      </x:c>
      <x:c r="F13" s="28" t="str">
        <x:v>1.71–3.6 V; se adopta 3.3 V</x:v>
      </x:c>
      <x:c r="G13" s="28" t="str">
        <x:v>Baja</x:v>
      </x:c>
      <x:c r="H13" s="28" t="str">
        <x:v>IMU integrada físicamente en PCB 2.</x:v>
      </x:c>
    </x:row>
    <x:row r="14" ht="54" customHeight="1">
      <x:c r="A14" s="28" t="str">
        <x:v>IF-09</x:v>
      </x:c>
      <x:c r="B14" s="28" t="str">
        <x:v>CubeSense Sun/Earth + CubeMag</x:v>
      </x:c>
      <x:c r="C14" s="28" t="str">
        <x:v>PCB 2 - OBC</x:v>
      </x:c>
      <x:c r="D14" s="28" t="str">
        <x:v>Vectores de Sol/Tierra/campo magnético</x:v>
      </x:c>
      <x:c r="E14" s="28" t="str">
        <x:v>CAN / UART / I²C</x:v>
      </x:c>
      <x:c r="F14" s="28" t="str">
        <x:v>Sensores CubeSpace a 3.3 V</x:v>
      </x:c>
      <x:c r="G14" s="28" t="str">
        <x:v>Baja</x:v>
      </x:c>
      <x:c r="H14" s="28" t="str">
        <x:v>Seleccionar bus final evitando conflictos de direccionamiento.</x:v>
      </x:c>
    </x:row>
    <x:row r="15" ht="54" customHeight="1">
      <x:c r="A15" s="28" t="str">
        <x:v>IF-10</x:v>
      </x:c>
      <x:c r="B15" s="28" t="str">
        <x:v>PCB 2 - OBC</x:v>
      </x:c>
      <x:c r="C15" s="28" t="str">
        <x:v>3× CubeTorquer CR0002</x:v>
      </x:c>
      <x:c r="D15" s="28" t="str">
        <x:v>Actuación magnética</x:v>
      </x:c>
      <x:c r="E15" s="28" t="str">
        <x:v>3× PWM + H-bridge</x:v>
      </x:c>
      <x:c r="F15" s="28" t="str">
        <x:v>5 V; ~98 mA nominal por torquer a 20 °C</x:v>
      </x:c>
      <x:c r="G15" s="28" t="str">
        <x:v>Control, sin datos de alto volumen</x:v>
      </x:c>
      <x:c r="H15" s="28" t="str">
        <x:v>Drivers de potencia se ubican en PCB 2.</x:v>
      </x:c>
    </x:row>
    <x:row r="16" ht="54" customHeight="1">
      <x:c r="A16" s="28" t="str">
        <x:v>IF-11</x:v>
      </x:c>
      <x:c r="B16" s="28" t="str">
        <x:v>PCB 2 - OBC</x:v>
      </x:c>
      <x:c r="C16" s="28" t="str">
        <x:v>NanoCom AX100</x:v>
      </x:c>
      <x:c r="D16" s="28" t="str">
        <x:v>TT&amp;C: telemetría y comandos</x:v>
      </x:c>
      <x:c r="E16" s="28" t="str">
        <x:v>CAN o I²C</x:v>
      </x:c>
      <x:c r="F16" s="28" t="str">
        <x:v>Lógica 3.3 V; radio UHF 430–440 MHz</x:v>
      </x:c>
      <x:c r="G16" s="28" t="str">
        <x:v>RF hasta 38.4 kbit/s en la referencia actual</x:v>
      </x:c>
      <x:c r="H16" s="28" t="str">
        <x:v>Se adopta CAN como opción preferida entre PCB 2 y PCB 3.</x:v>
      </x:c>
    </x:row>
    <x:row r="17" ht="54" customHeight="1">
      <x:c r="A17" s="28" t="str">
        <x:v>IF-12</x:v>
      </x:c>
      <x:c r="B17" s="28" t="str">
        <x:v>PCB 2 - OBC</x:v>
      </x:c>
      <x:c r="C17" s="28" t="str">
        <x:v>PULSAR-HSTX-C</x:v>
      </x:c>
      <x:c r="D17" s="28" t="str">
        <x:v>Entregar imágenes para downlink</x:v>
      </x:c>
      <x:c r="E17" s="28" t="str">
        <x:v>I²C + SPI</x:v>
      </x:c>
      <x:c r="F17" s="28" t="str">
        <x:v>I²C de control; SPI de alta velocidad (8 MHz en ficha de referencia)</x:v>
      </x:c>
      <x:c r="G17" s="28" t="str">
        <x:v>RF hasta 8 Mbit/s en datasheet HSTX-C</x:v>
      </x:c>
      <x:c r="H17" s="28" t="str">
        <x:v>Transmisor S-band dedicado a imágenes.</x:v>
      </x:c>
    </x:row>
    <x:row r="18">
      <x:c r="A18" s="26" t="str">
        <x:v>IF-13</x:v>
      </x:c>
      <x:c r="B18" s="26" t="str">
        <x:v>NanoCom AX100</x:v>
      </x:c>
      <x:c r="C18" s="26" t="str">
        <x:v>Antena UHF desplegable</x:v>
      </x:c>
      <x:c r="D18" s="26" t="str">
        <x:v>Transmitir/recibir TT&amp;C</x:v>
      </x:c>
      <x:c r="E18" s="26" t="str">
        <x:v>RF 50 Ω</x:v>
      </x:c>
      <x:c r="F18" s="26" t="str">
        <x:v>MCX en radio; antena 50 Ω mediante arnés/adaptación</x:v>
      </x:c>
      <x:c r="G18" s="26" t="str">
        <x:v>430–440 MHz</x:v>
      </x:c>
      <x:c r="H18" s="26" t="str">
        <x:v>Requiere adaptación de conector y layout RF en PCB 3.</x:v>
      </x:c>
    </x:row>
    <x:row r="19">
      <x:c r="A19" s="26" t="str">
        <x:v>IF-14</x:v>
      </x:c>
      <x:c r="B19" s="26" t="str">
        <x:v>PULSAR-HSTX-C</x:v>
      </x:c>
      <x:c r="C19" s="26" t="str">
        <x:v>Antena S-band patch</x:v>
      </x:c>
      <x:c r="D19" s="26" t="str">
        <x:v>Downlink de imágenes</x:v>
      </x:c>
      <x:c r="E19" s="26" t="str">
        <x:v>RF 50 Ω</x:v>
      </x:c>
      <x:c r="F19" s="26" t="str">
        <x:v>SMA en transmisor; antena S-band 2.2–2.3 GHz</x:v>
      </x:c>
      <x:c r="G19" s="26" t="str">
        <x:v>Hasta 8 Mbit/s</x:v>
      </x:c>
      <x:c r="H19" s="26" t="str">
        <x:v>Mantener trayecto RF corto y separado de digital/convertidores.</x:v>
      </x:c>
    </x:row>
    <x:row r="20">
      <x:c r="A20" s="26" t="str">
        <x:v>IF-15</x:v>
      </x:c>
      <x:c r="B20" s="26" t="str">
        <x:v>PCB 2 - OBC</x:v>
      </x:c>
      <x:c r="C20" s="26" t="str">
        <x:v>microSD industrial 64 GB</x:v>
      </x:c>
      <x:c r="D20" s="26" t="str">
        <x:v>Guardar imágenes y telemetría</x:v>
      </x:c>
      <x:c r="E20" s="26" t="str">
        <x:v>SDMMC</x:v>
      </x:c>
      <x:c r="F20" s="26" t="str">
        <x:v>3.3 V; UHS-I/SD compatible</x:v>
      </x:c>
      <x:c r="G20" s="26" t="str">
        <x:v>64 GB; escritura de referencia hasta 50 MB/s</x:v>
      </x:c>
      <x:c r="H20" s="26" t="str">
        <x:v>Capacidad &gt; presupuesto de almacenamiento con margen.</x:v>
      </x:c>
    </x:row>
    <x:row r="21">
      <x:c r="A21" s="26" t="str">
        <x:v>IF-16</x:v>
      </x:c>
      <x:c r="B21" s="26" t="str">
        <x:v>Antenas RF</x:v>
      </x:c>
      <x:c r="C21" s="26" t="str">
        <x:v>Estación terrestre Medellín</x:v>
      </x:c>
      <x:c r="D21" s="26" t="str">
        <x:v>Enlace con tierra</x:v>
      </x:c>
      <x:c r="E21" s="26" t="str">
        <x:v>UHF + S-band</x:v>
      </x:c>
      <x:c r="F21" s="26" t="str">
        <x:v>UHF 430–440 MHz TT&amp;C; S-band 2.2–2.3 GHz imágenes</x:v>
      </x:c>
      <x:c r="G21" s="26" t="str">
        <x:v>Requerido preliminar ≈12.5 kbit/s TT&amp;C y ≈1.01 Mbit/s imágenes</x:v>
      </x:c>
      <x:c r="H21" s="26" t="str">
        <x:v>La frecuencia/canal exacto y link budget se cierran antes del diseño detallado.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3843a93abb2443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0" hidden="0" customWidth="1"/>
    <x:col min="4" max="4" width="44" hidden="0" customWidth="1"/>
    <x:col min="5" max="5" width="19" hidden="0" customWidth="1"/>
    <x:col min="6" max="6" width="24" hidden="0" customWidth="1"/>
    <x:col min="7" max="7" width="58" hidden="0" customWidth="1"/>
  </x:cols>
  <x:sheetData>
    <x:row r="1">
      <x:c r="A1" s="5" t="str">
        <x:v>PRESUPUESTO PRELIMINAR DE POTENCIA Y ENERGÍA</x:v>
      </x:c>
      <x:c r="B1" s="5"/>
      <x:c r="C1" s="5"/>
      <x:c r="D1" s="5"/>
      <x:c r="E1" s="5"/>
      <x:c r="F1" s="5"/>
      <x:c r="G1" s="5"/>
    </x:row>
    <x:row r="2">
      <x:c r="A2" s="12" t="str">
        <x:v>Presupuesto preliminar cerrado con componentes de referencia y supuestos explícitos. Los ciclos de actividad son de misión preliminar, no valores medidos.</x:v>
      </x:c>
      <x:c r="B2" s="12"/>
      <x:c r="C2" s="12"/>
      <x:c r="D2" s="12"/>
      <x:c r="E2" s="12"/>
      <x:c r="F2" s="12"/>
      <x:c r="G2" s="12"/>
    </x:row>
    <x:row r="5">
      <x:c r="A5" s="20" t="str">
        <x:v>Subsistema</x:v>
      </x:c>
      <x:c r="B5" s="20" t="str">
        <x:v>Potencia nominal (W)</x:v>
      </x:c>
      <x:c r="C5" s="20" t="str">
        <x:v>Potencia máxima (W)</x:v>
      </x:c>
      <x:c r="D5" s="20" t="str">
        <x:v>Ciclo de actividad</x:v>
      </x:c>
      <x:c r="E5" s="20" t="str">
        <x:v>Potencia media (W)</x:v>
      </x:c>
      <x:c r="F5" s="20" t="str">
        <x:v>Energía estimada (Wh/día)</x:v>
      </x:c>
      <x:c r="G5" s="20" t="str">
        <x:v>Fuente / fundamento</x:v>
      </x:c>
    </x:row>
    <x:row r="6" ht="54" customHeight="1">
      <x:c r="A6" s="26" t="str">
        <x:v>PCB 1 - EPS (ICEPS2 Type A)</x:v>
      </x:c>
      <x:c r="B6" s="66" t="n">
        <x:v>0.093</x:v>
      </x:c>
      <x:c r="C6" s="66" t="n">
        <x:v>0.15</x:v>
      </x:c>
      <x:c r="D6" s="66" t="n">
        <x:v>1</x:v>
      </x:c>
      <x:c r="E6" s="66" t="n">
        <x:f>B6*D6</x:f>
        <x:v>0.093</x:v>
      </x:c>
      <x:c r="F6" s="66" t="n">
        <x:f>E6*24</x:f>
        <x:v>2.232</x:v>
      </x:c>
      <x:c r="G6" s="26" t="str">
        <x:v>93 mW de consumo estático en datasheet; 0.15 W máximo usado como supuesto conservador para electrónica de control.</x:v>
      </x:c>
    </x:row>
    <x:row r="7" ht="54" customHeight="1">
      <x:c r="A7" s="26" t="str">
        <x:v>PCB 2 - OBC + almacenamiento</x:v>
      </x:c>
      <x:c r="B7" s="66" t="n">
        <x:v>0.4</x:v>
      </x:c>
      <x:c r="C7" s="66" t="n">
        <x:v>1</x:v>
      </x:c>
      <x:c r="D7" s="66" t="n">
        <x:v>1</x:v>
      </x:c>
      <x:c r="E7" s="66" t="n">
        <x:f>B7*D7</x:f>
        <x:v>0.4</x:v>
      </x:c>
      <x:c r="F7" s="66" t="n">
        <x:f>E7*24</x:f>
        <x:v>9.600000000000001</x:v>
      </x:c>
      <x:c r="G7" s="26" t="str">
        <x:v>Estimación de arquitectura: STM32H743 (~0.35 W típico de orden de magnitud) + microSD/periféricos y margen de PCB.</x:v>
      </x:c>
    </x:row>
    <x:row r="8" ht="54" customHeight="1">
      <x:c r="A8" s="26" t="str">
        <x:v>Cámara MAPIR Survey3N</x:v>
      </x:c>
      <x:c r="B8" s="66" t="n">
        <x:v>1.716</x:v>
      </x:c>
      <x:c r="C8" s="66" t="n">
        <x:v>1.716</x:v>
      </x:c>
      <x:c r="D8" s="66" t="n">
        <x:v>0.006944444444444444</x:v>
      </x:c>
      <x:c r="E8" s="66" t="n">
        <x:f>B8*D8</x:f>
        <x:v>0.011916666666666666</x:v>
      </x:c>
      <x:c r="F8" s="66" t="n">
        <x:f>E8*24</x:f>
        <x:v>0.286</x:v>
      </x:c>
      <x:c r="G8" s="26" t="str">
        <x:v>5.2 V × 0.33 A en captura. Supuesto: cámara energizada 10 min/día incluyendo captura y transferencia.</x:v>
      </x:c>
    </x:row>
    <x:row r="9" ht="54" customHeight="1">
      <x:c r="A9" s="26" t="str">
        <x:v>ADCS (sensores + 3× CR0002)</x:v>
      </x:c>
      <x:c r="B9" s="66" t="n">
        <x:v>0.43</x:v>
      </x:c>
      <x:c r="C9" s="66" t="n">
        <x:v>2.16</x:v>
      </x:c>
      <x:c r="D9" s="66" t="n">
        <x:v>1</x:v>
      </x:c>
      <x:c r="E9" s="66" t="n">
        <x:f>B9*D9</x:f>
        <x:v>0.43</x:v>
      </x:c>
      <x:c r="F9" s="66" t="n">
        <x:f>E9*24</x:f>
        <x:v>10.32</x:v>
      </x:c>
      <x:c r="G9" s="26" t="str">
        <x:v>Promedio: CubeSense Sun/Earth + CubeMag + IMU + torquers al 5 % de duty. Pico: sensores + 3 torquers a 5 V.</x:v>
      </x:c>
    </x:row>
    <x:row r="10" ht="54" customHeight="1">
      <x:c r="A10" s="26" t="str">
        <x:v>UHF NanoCom AX100</x:v>
      </x:c>
      <x:c r="B10" s="66" t="n">
        <x:v>0.182</x:v>
      </x:c>
      <x:c r="C10" s="66" t="n">
        <x:v>3.3</x:v>
      </x:c>
      <x:c r="D10" s="66" t="n">
        <x:v>0.2</x:v>
      </x:c>
      <x:c r="E10" s="66" t="n">
        <x:f>B10*D10</x:f>
        <x:v>0.0364</x:v>
      </x:c>
      <x:c r="F10" s="66" t="n">
        <x:f>E10*24</x:f>
        <x:v>0.8736</x:v>
      </x:c>
      <x:c r="G10" s="26" t="str">
        <x:v>RX típico 55 mA a 3.3 V. TX extremo hasta 1 A. Supuesto: escucha/uso UHF 20 % del día.</x:v>
      </x:c>
    </x:row>
    <x:row r="11">
      <x:c r="A11" s="45" t="str">
        <x:v>S-band PULSAR-HSTX-C</x:v>
      </x:c>
      <x:c r="B11" s="67" t="n">
        <x:v>5</x:v>
      </x:c>
      <x:c r="C11" s="67" t="n">
        <x:v>5</x:v>
      </x:c>
      <x:c r="D11" s="67" t="n">
        <x:v>0.006944444444444444</x:v>
      </x:c>
      <x:c r="E11" s="67" t="n">
        <x:f>B11*D11</x:f>
        <x:v>0.034722222222222224</x:v>
      </x:c>
      <x:c r="F11" s="67" t="n">
        <x:f>E11*24</x:f>
        <x:v>0.8333333333333334</x:v>
      </x:c>
      <x:c r="G11" s="45" t="str">
        <x:v>Ficha: consumo total &lt;5 W a máxima potencia RF. Supuesto: 10 min/día de downlink de imágenes.</x:v>
      </x:c>
    </x:row>
    <x:row r="12">
      <x:c r="A12" s="26" t="str">
        <x:v>TOTAL</x:v>
      </x:c>
      <x:c r="B12" s="66"/>
      <x:c r="C12" s="66"/>
      <x:c r="D12" s="66"/>
      <x:c r="E12" s="66" t="n">
        <x:f>SUM(E6:E11)</x:f>
        <x:v>1.006038888888889</x:v>
      </x:c>
      <x:c r="F12" s="66" t="n">
        <x:f>SUM(F6:F11)</x:f>
        <x:v>24.144933333333334</x:v>
      </x:c>
      <x:c r="G12" s="26" t="str">
        <x:v>Picos máximos no se consideran simultáneos.</x:v>
      </x:c>
    </x:row>
    <x:row r="14">
      <x:c r="A14" s="37" t="str">
        <x:v>BALANCE PRELIMINAR DE GENERACIÓN Y BATERÍA</x:v>
      </x:c>
      <x:c r="B14" s="37"/>
      <x:c r="C14" s="37"/>
      <x:c r="D14" s="37"/>
      <x:c r="E14" s="37"/>
      <x:c r="F14" s="37"/>
      <x:c r="G14" s="37"/>
    </x:row>
    <x:row r="15">
      <x:c r="A15" s="37" t="str">
        <x:v>Parámetro</x:v>
      </x:c>
      <x:c r="B15" s="37" t="str">
        <x:v>Valor</x:v>
      </x:c>
      <x:c r="C15" s="37" t="str">
        <x:v>Unidad</x:v>
      </x:c>
      <x:c r="D15" s="37" t="str">
        <x:v>Fundamento / supuesto</x:v>
      </x:c>
      <x:c r="E15" s="37"/>
      <x:c r="F15" s="37"/>
      <x:c r="G15" s="37"/>
    </x:row>
    <x:row r="16">
      <x:c r="A16" s="37" t="str">
        <x:v>Paneles 1U instalados</x:v>
      </x:c>
      <x:c r="B16" s="69" t="n">
        <x:v>3</x:v>
      </x:c>
      <x:c r="C16" s="37" t="str">
        <x:v>paneles</x:v>
      </x:c>
      <x:c r="D16" s="37" t="str">
        <x:v>Tres caras disponibles; referencia ISISPACE 1U body-mounted.</x:v>
      </x:c>
      <x:c r="E16" s="37"/>
      <x:c r="F16" s="37"/>
      <x:c r="G16" s="37"/>
    </x:row>
    <x:row r="17">
      <x:c r="A17" s="26" t="str">
        <x:v>Potencia BOL por panel</x:v>
      </x:c>
      <x:c r="B17" s="71" t="n">
        <x:v>2.3</x:v>
      </x:c>
      <x:c r="C17" s="26" t="str">
        <x:v>W</x:v>
      </x:c>
      <x:c r="D17" s="26" t="str">
        <x:v>Brochure ISISPACE: 1U ≈2.3 W BOL.</x:v>
      </x:c>
    </x:row>
    <x:row r="18">
      <x:c r="A18" s="26" t="str">
        <x:v>Potencia BOL instalada</x:v>
      </x:c>
      <x:c r="B18" s="71" t="n">
        <x:f>B16*B17</x:f>
        <x:v>6.8999999999999995</x:v>
      </x:c>
      <x:c r="C18" s="26" t="str">
        <x:v>W</x:v>
      </x:c>
      <x:c r="D18" s="26" t="str">
        <x:v>Número de paneles × potencia por panel.</x:v>
      </x:c>
    </x:row>
    <x:row r="19">
      <x:c r="A19" s="26" t="str">
        <x:v>Panel equivalente iluminado</x:v>
      </x:c>
      <x:c r="B19" s="71" t="n">
        <x:v>1</x:v>
      </x:c>
      <x:c r="C19" s="26" t="str">
        <x:v>panel</x:v>
      </x:c>
      <x:c r="D19" s="26" t="str">
        <x:v>Supuesto conservador de geometría/orientación.</x:v>
      </x:c>
    </x:row>
    <x:row r="20">
      <x:c r="A20" s="26" t="str">
        <x:v>Fracción diaria iluminada</x:v>
      </x:c>
      <x:c r="B20" s="71" t="n">
        <x:v>0.63</x:v>
      </x:c>
      <x:c r="C20" s="26" t="str">
        <x:v>—</x:v>
      </x:c>
      <x:c r="D20" s="26" t="str">
        <x:v>Supuesto preliminar para LEO ~550 km; refinar con análisis orbital.</x:v>
      </x:c>
    </x:row>
    <x:row r="21">
      <x:c r="A21" s="26" t="str">
        <x:v>Eficiencia conjunta MPPT/cableado</x:v>
      </x:c>
      <x:c r="B21" s="71" t="n">
        <x:v>0.8</x:v>
      </x:c>
      <x:c r="C21" s="26" t="str">
        <x:v>—</x:v>
      </x:c>
      <x:c r="D21" s="26" t="str">
        <x:v>Supuesto preliminar conservador.</x:v>
      </x:c>
    </x:row>
    <x:row r="22">
      <x:c r="A22" s="26" t="str">
        <x:v>Energía generada estimada</x:v>
      </x:c>
      <x:c r="B22" s="71" t="n">
        <x:f>B17*B19*B20*B21*24</x:f>
        <x:v>27.8208</x:v>
      </x:c>
      <x:c r="C22" s="26" t="str">
        <x:v>Wh/día</x:v>
      </x:c>
      <x:c r="D22" s="26" t="str">
        <x:v>Potencia panel × panel equivalente × fracción iluminada × eficiencia × 24 h.</x:v>
      </x:c>
    </x:row>
    <x:row r="23">
      <x:c r="A23" s="26" t="str">
        <x:v>Energía consumida estimada</x:v>
      </x:c>
      <x:c r="B23" s="71" t="n">
        <x:f>F12</x:f>
        <x:v>24.144933333333334</x:v>
      </x:c>
      <x:c r="C23" s="26" t="str">
        <x:v>Wh/día</x:v>
      </x:c>
      <x:c r="D23" s="26" t="str">
        <x:v>Tomada del total del presupuesto de cargas.</x:v>
      </x:c>
    </x:row>
    <x:row r="24">
      <x:c r="A24" s="26" t="str">
        <x:v>Margen energético</x:v>
      </x:c>
      <x:c r="B24" s="71" t="n">
        <x:f>B22-B23</x:f>
        <x:v>3.675866666666664</x:v>
      </x:c>
      <x:c r="C24" s="26" t="str">
        <x:v>Wh/día</x:v>
      </x:c>
      <x:c r="D24" s="26" t="str">
        <x:v>Generación - consumo.</x:v>
      </x:c>
    </x:row>
    <x:row r="25">
      <x:c r="A25" s="26" t="str">
        <x:v>Margen energético</x:v>
      </x:c>
      <x:c r="B25" s="60" t="n">
        <x:f>B24/B22</x:f>
        <x:v>0.1321265623801855</x:v>
      </x:c>
      <x:c r="C25" s="26" t="str">
        <x:v>%</x:v>
      </x:c>
      <x:c r="D25" s="26" t="str">
        <x:v>(Generación - consumo) / generación.</x:v>
      </x:c>
    </x:row>
    <x:row r="26">
      <x:c r="A26" s="26" t="str">
        <x:v>Capacidad batería de referencia</x:v>
      </x:c>
      <x:c r="B26" s="71" t="n">
        <x:v>22.5</x:v>
      </x:c>
      <x:c r="C26" s="26" t="str">
        <x:v>Wh</x:v>
      </x:c>
      <x:c r="D26" s="26" t="str">
        <x:v>ICEPS2 Type A, ficha comercial consultada.</x:v>
      </x:c>
    </x:row>
    <x:row r="27">
      <x:c r="A27" s="26" t="str">
        <x:v>Energía de un eclipse de 35 min</x:v>
      </x:c>
      <x:c r="B27" s="71" t="n">
        <x:f>E12*(35/60)</x:f>
        <x:v>0.5868560185185185</x:v>
      </x:c>
      <x:c r="C27" s="26" t="str">
        <x:v>Wh</x:v>
      </x:c>
      <x:c r="D27" s="26" t="str">
        <x:v>Supuesto de 35 min de eclipse con la potencia media calculada.</x:v>
      </x:c>
    </x:row>
    <x:row r="28">
      <x:c r="A28" s="26" t="str">
        <x:v>Uso de batería por eclipse</x:v>
      </x:c>
      <x:c r="B28" s="60" t="n">
        <x:f>B27/B26</x:f>
        <x:v>0.026082489711934158</x:v>
      </x:c>
      <x:c r="C28" s="26" t="str">
        <x:v>%</x:v>
      </x:c>
      <x:c r="D28" s="26" t="str">
        <x:v>Energía de eclipse / capacidad nominal de batería.</x:v>
      </x:c>
    </x:row>
  </x:sheetData>
  <x:mergeCells>
    <x:mergeCell ref="A1:G1"/>
    <x:mergeCell ref="A2:G2"/>
    <x:mergeCell ref="A14:G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5" hidden="0" customWidth="1"/>
    <x:col min="3" max="3" width="23" hidden="0" customWidth="1"/>
    <x:col min="4" max="4" width="12" hidden="0" customWidth="1"/>
    <x:col min="5" max="5" width="25" hidden="0" customWidth="1"/>
    <x:col min="6" max="6" width="30" hidden="0" customWidth="1"/>
    <x:col min="7" max="7" width="27" hidden="0" customWidth="1"/>
    <x:col min="8" max="8" width="58" hidden="0" customWidth="1"/>
  </x:cols>
  <x:sheetData>
    <x:row r="1">
      <x:c r="A1" s="4" t="str">
        <x:v>PRESUPUESTO PRELIMINAR DE DATOS Y ALMACENAMIENTO</x:v>
      </x:c>
      <x:c r="B1" s="4"/>
      <x:c r="C1" s="4"/>
      <x:c r="D1" s="4"/>
      <x:c r="E1" s="4"/>
      <x:c r="F1" s="4"/>
      <x:c r="G1" s="4"/>
      <x:c r="H1" s="4"/>
    </x:row>
    <x:row r="2">
      <x:c r="A2" s="49" t="str">
        <x:v>Supuestos de misión usados para el presupuesto: 2 capturas/día, 10 min/día de contacto y 30 % de margen de almacenamiento/datos.</x:v>
      </x:c>
      <x:c r="B2" s="49"/>
      <x:c r="C2" s="49"/>
      <x:c r="D2" s="49"/>
      <x:c r="E2" s="49"/>
      <x:c r="F2" s="49"/>
      <x:c r="G2" s="49"/>
      <x:c r="H2" s="49"/>
    </x:row>
    <x:row r="4">
      <x:c r="A4" s="53" t="str">
        <x:v>Parámetro</x:v>
      </x:c>
      <x:c r="B4" s="53" t="str">
        <x:v>Valor</x:v>
      </x:c>
    </x:row>
    <x:row r="5">
      <x:c r="A5" t="str">
        <x:v>Duración de misión (días)</x:v>
      </x:c>
      <x:c r="B5" t="n">
        <x:v>180</x:v>
      </x:c>
    </x:row>
    <x:row r="6">
      <x:c r="A6" t="str">
        <x:v>Tiempo de contacto diario (min)</x:v>
      </x:c>
      <x:c r="B6" t="n">
        <x:v>10</x:v>
      </x:c>
    </x:row>
    <x:row r="7">
      <x:c r="A7" t="str">
        <x:v>Margen de almacenamiento</x:v>
      </x:c>
      <x:c r="B7" s="42" t="n">
        <x:v>0.3</x:v>
      </x:c>
    </x:row>
    <x:row r="10">
      <x:c r="A10" s="20" t="str">
        <x:v>Fuente de datos</x:v>
      </x:c>
      <x:c r="B10" s="20" t="str">
        <x:v>Datos por adquisición (MB)</x:v>
      </x:c>
      <x:c r="C10" s="20" t="str">
        <x:v>Adquisiciones por día</x:v>
      </x:c>
      <x:c r="D10" s="20" t="str">
        <x:v>Días</x:v>
      </x:c>
      <x:c r="E10" s="20" t="str">
        <x:v>Volumen acumulado (MB)</x:v>
      </x:c>
      <x:c r="F10" s="20" t="str">
        <x:v>Almacenamiento con margen (MB)</x:v>
      </x:c>
      <x:c r="G10" s="20" t="str">
        <x:v>Tasa mínima durante contacto (kbit/s)</x:v>
      </x:c>
      <x:c r="H10" s="20" t="str">
        <x:v>Fundamento</x:v>
      </x:c>
    </x:row>
    <x:row r="11" ht="54" customHeight="1">
      <x:c r="A11" s="26" t="str">
        <x:v>Cámara multiespectral</x:v>
      </x:c>
      <x:c r="B11" s="71" t="n">
        <x:v>29.09090909090909</x:v>
      </x:c>
      <x:c r="C11" s="71" t="n">
        <x:v>2</x:v>
      </x:c>
      <x:c r="D11" s="71" t="n">
        <x:v>180</x:v>
      </x:c>
      <x:c r="E11" s="71" t="n">
        <x:f>B11*C11*D11</x:f>
        <x:v>10472.727272727272</x:v>
      </x:c>
      <x:c r="F11" s="71" t="n">
        <x:f>E11*(1+$B$7)</x:f>
        <x:v>13614.545454545454</x:v>
      </x:c>
      <x:c r="G11" s="71" t="n">
        <x:f>B11*C11*(1+$B$7)*8000/($B$6*60)</x:f>
        <x:v>1008.4848484848486</x:v>
      </x:c>
      <x:c r="H11" s="26" t="str">
        <x:v>MAPIR: 64 GB ≈2200 capturas RAW+JPG → ≈29.1 MB/adquisición. Supuesto de 2 capturas/día.</x:v>
      </x:c>
    </x:row>
    <x:row r="12" ht="54" customHeight="1">
      <x:c r="A12" s="26" t="str">
        <x:v>Telemetría</x:v>
      </x:c>
      <x:c r="B12" s="71" t="n">
        <x:v>0.0005</x:v>
      </x:c>
      <x:c r="C12" s="71" t="n">
        <x:v>1440</x:v>
      </x:c>
      <x:c r="D12" s="71" t="n">
        <x:v>180</x:v>
      </x:c>
      <x:c r="E12" s="71" t="n">
        <x:f>B12*C12*D12</x:f>
        <x:v>129.6</x:v>
      </x:c>
      <x:c r="F12" s="71" t="n">
        <x:f>E12*(1+$B$7)</x:f>
        <x:v>168.48</x:v>
      </x:c>
      <x:c r="G12" s="71" t="n">
        <x:f>B12*C12*(1+$B$7)*8000/($B$6*60)</x:f>
        <x:v>12.48</x:v>
      </x:c>
      <x:c r="H12" s="26" t="str">
        <x:v>Supuesto: paquete promedio de 500 bytes cada minuto para housekeeping/estado.</x:v>
      </x:c>
    </x:row>
    <x:row r="13">
      <x:c r="A13" s="45" t="str">
        <x:v>TOTAL</x:v>
      </x:c>
      <x:c r="B13" s="73"/>
      <x:c r="C13" s="73"/>
      <x:c r="D13" s="73"/>
      <x:c r="E13" s="73" t="n">
        <x:f>SUM(E11:E12)</x:f>
        <x:v>10602.327272727272</x:v>
      </x:c>
      <x:c r="F13" s="73" t="n">
        <x:f>SUM(F11:F12)</x:f>
        <x:v>13783.025454545454</x:v>
      </x:c>
      <x:c r="G13" s="73" t="n">
        <x:f>SUM(G11:G12)</x:f>
        <x:v>1020.9648484848486</x:v>
      </x:c>
      <x:c r="H13" s="45" t="str"/>
    </x:row>
    <x:row r="15">
      <x:c r="A15" s="26" t="str">
        <x:v>VERIFICACIÓN DE CAPACIDAD</x:v>
      </x:c>
      <x:c r="B15" s="26"/>
      <x:c r="C15" s="26"/>
      <x:c r="D15" s="26"/>
      <x:c r="E15" s="26"/>
      <x:c r="F15" s="26"/>
      <x:c r="G15" s="26"/>
      <x:c r="H15" s="26"/>
    </x:row>
    <x:row r="16">
      <x:c r="A16" s="26" t="str">
        <x:v>Parámetro</x:v>
      </x:c>
      <x:c r="B16" s="26" t="str">
        <x:v>Disponible</x:v>
      </x:c>
      <x:c r="C16" s="26" t="str">
        <x:v>Requerido preliminar</x:v>
      </x:c>
      <x:c r="D16" s="26" t="str">
        <x:v>Resultado</x:v>
      </x:c>
      <x:c r="E16" s="26"/>
      <x:c r="F16" s="26"/>
      <x:c r="G16" s="26"/>
      <x:c r="H16" s="26"/>
    </x:row>
    <x:row r="17">
      <x:c r="A17" s="26" t="str">
        <x:v>Almacenamiento (MB)</x:v>
      </x:c>
      <x:c r="B17" s="26" t="n">
        <x:v>64000</x:v>
      </x:c>
      <x:c r="C17" s="26" t="n">
        <x:f>F13</x:f>
        <x:v>13783.025454545454</x:v>
      </x:c>
      <x:c r="D17" s="26" t="str">
        <x:f>IF(B17&gt;=C17,"Cumple","No cumple")</x:f>
        <x:v>Cumple</x:v>
      </x:c>
      <x:c r="E17" s="26"/>
      <x:c r="F17" s="26"/>
      <x:c r="G17" s="26"/>
      <x:c r="H17" s="26"/>
    </x:row>
    <x:row r="18">
      <x:c r="A18" s="26" t="str">
        <x:v>S-band (kbit/s)</x:v>
      </x:c>
      <x:c r="B18" s="26" t="n">
        <x:v>8000</x:v>
      </x:c>
      <x:c r="C18" s="26" t="n">
        <x:f>G11</x:f>
        <x:v>1008.4848484848486</x:v>
      </x:c>
      <x:c r="D18" s="26" t="str">
        <x:f>IF(B18&gt;=C18,"Cumple","No cumple")</x:f>
        <x:v>Cumple</x:v>
      </x:c>
      <x:c r="E18" s="26"/>
      <x:c r="F18" s="26"/>
      <x:c r="G18" s="26"/>
      <x:c r="H18" s="26"/>
    </x:row>
    <x:row r="19">
      <x:c r="A19" s="26" t="str">
        <x:v>UHF (kbit/s)</x:v>
      </x:c>
      <x:c r="B19" s="26" t="n">
        <x:v>38.4</x:v>
      </x:c>
      <x:c r="C19" s="26" t="n">
        <x:f>G12</x:f>
        <x:v>12.48</x:v>
      </x:c>
      <x:c r="D19" s="26" t="str">
        <x:f>IF(B19&gt;=C19,"Cumple","No cumple")</x:f>
        <x:v>Cumple</x:v>
      </x:c>
      <x:c r="E19" s="26"/>
      <x:c r="F19" s="26"/>
      <x:c r="G19" s="26"/>
      <x:c r="H19" s="26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25" hidden="0" customWidth="1"/>
    <x:col min="4" max="4" width="58" hidden="0" customWidth="1"/>
    <x:col min="5" max="5" width="18" hidden="0" customWidth="1"/>
    <x:col min="6" max="6" width="18" hidden="0" customWidth="1"/>
  </x:cols>
  <x:sheetData>
    <x:row r="1">
      <x:c r="A1" s="4" t="str">
        <x:v>PRESUPUESTO PRELIMINAR DE MASA Y VOLUMEN</x:v>
      </x:c>
      <x:c r="B1" s="4"/>
      <x:c r="C1" s="4"/>
      <x:c r="D1" s="4"/>
      <x:c r="E1" s="4"/>
      <x:c r="F1" s="4"/>
    </x:row>
    <x:row r="2">
      <x:c r="A2" s="49" t="str">
        <x:v>Presupuesto preliminar con componentes de referencia. El volumen de 1000 cm³ es geométrico bruto; el volumen útil real será menor por estructura, rieles y montaje.</x:v>
      </x:c>
      <x:c r="B2" s="49"/>
      <x:c r="C2" s="49"/>
      <x:c r="D2" s="49"/>
      <x:c r="E2" s="49"/>
      <x:c r="F2" s="49"/>
    </x:row>
    <x:row r="4">
      <x:c r="A4" s="53" t="str">
        <x:v>Parámetro</x:v>
      </x:c>
      <x:c r="B4" s="53" t="str">
        <x:v>Valor</x:v>
      </x:c>
    </x:row>
    <x:row r="5">
      <x:c r="A5" t="str">
        <x:v>Límite de masa de referencia (g)</x:v>
      </x:c>
      <x:c r="B5" t="n">
        <x:v>2000</x:v>
      </x:c>
    </x:row>
    <x:row r="6">
      <x:c r="A6" t="str">
        <x:v>Volumen geométrico aproximado 1U (cm³)</x:v>
      </x:c>
      <x:c r="B6" t="n">
        <x:v>1000</x:v>
      </x:c>
    </x:row>
    <x:row r="9">
      <x:c r="A9" s="20" t="str">
        <x:v>Elemento</x:v>
      </x:c>
      <x:c r="B9" s="20" t="str">
        <x:v>Masa estimada (g)</x:v>
      </x:c>
      <x:c r="C9" s="20" t="str">
        <x:v>Volumen interno asignado (cm³)</x:v>
      </x:c>
      <x:c r="D9" s="20" t="str">
        <x:v>Fuente / fundamento</x:v>
      </x:c>
      <x:c r="E9" s="20" t="str">
        <x:v>% masa usada</x:v>
      </x:c>
      <x:c r="F9" s="20" t="str">
        <x:v>% volumen bruto usado</x:v>
      </x:c>
    </x:row>
    <x:row r="10" ht="50" customHeight="1">
      <x:c r="A10" s="26" t="str">
        <x:v>PCB 1 - EPS + batería (ICEPS2 Type A)</x:v>
      </x:c>
      <x:c r="B10" s="74" t="n">
        <x:v>184</x:v>
      </x:c>
      <x:c r="C10" s="74" t="n">
        <x:v>233.6064</x:v>
      </x:c>
      <x:c r="D10" s="26" t="str">
        <x:v>Ficha ISISPACE: 184±5 g, 96×92×26.45 mm. Se usa como referencia de PCB1+batería.</x:v>
      </x:c>
      <x:c r="E10" s="60" t="n">
        <x:f>B10/$B$5</x:f>
        <x:v>0.092</x:v>
      </x:c>
      <x:c r="F10" s="60" t="n">
        <x:f>C10/$B$6</x:f>
        <x:v>0.23360640000000002</x:v>
      </x:c>
    </x:row>
    <x:row r="11" ht="50" customHeight="1">
      <x:c r="A11" s="26" t="str">
        <x:v>PCB 2 - OBC + almacenamiento</x:v>
      </x:c>
      <x:c r="B11" s="74" t="n">
        <x:v>80</x:v>
      </x:c>
      <x:c r="C11" s="74" t="n">
        <x:v>81</x:v>
      </x:c>
      <x:c r="D11" s="26" t="str">
        <x:v>Reserva preliminar para PCB propia STM32H743 + microSD + drivers/interfaces: 80 g y 90×90×10 mm (supuesto).</x:v>
      </x:c>
      <x:c r="E11" s="60" t="n">
        <x:f>B11/$B$5</x:f>
        <x:v>0.04</x:v>
      </x:c>
      <x:c r="F11" s="60" t="n">
        <x:f>C11/$B$6</x:f>
        <x:v>0.081</x:v>
      </x:c>
    </x:row>
    <x:row r="12" ht="50" customHeight="1">
      <x:c r="A12" s="26" t="str">
        <x:v>Cámara MAPIR Survey3N</x:v>
      </x:c>
      <x:c r="B12" s="74" t="n">
        <x:v>50</x:v>
      </x:c>
      <x:c r="C12" s="74" t="n">
        <x:v>88.146</x:v>
      </x:c>
      <x:c r="D12" s="26" t="str">
        <x:v>Fabricante: 50 g sin batería; 59×41.5×36 mm.</x:v>
      </x:c>
      <x:c r="E12" s="60" t="n">
        <x:f>B12/$B$5</x:f>
        <x:v>0.025</x:v>
      </x:c>
      <x:c r="F12" s="60" t="n">
        <x:f>C12/$B$6</x:f>
        <x:v>0.088146</x:v>
      </x:c>
    </x:row>
    <x:row r="13" ht="50" customHeight="1">
      <x:c r="A13" s="26" t="str">
        <x:v>Sensores ADCS</x:v>
      </x:c>
      <x:c r="B13" s="74" t="n">
        <x:v>39.1</x:v>
      </x:c>
      <x:c r="C13" s="74" t="n">
        <x:v>39.7728</x:v>
      </x:c>
      <x:c r="D13" s="26" t="str">
        <x:v>CubeSense Sun 15 g + Earth 18 g + CubeMag Compact 6 g + IMU integrada; volumen desde envolventes publicadas.</x:v>
      </x:c>
      <x:c r="E13" s="60" t="n">
        <x:f>B13/$B$5</x:f>
        <x:v>0.01955</x:v>
      </x:c>
      <x:c r="F13" s="60" t="n">
        <x:f>C13/$B$6</x:f>
        <x:v>0.0397728</x:v>
      </x:c>
    </x:row>
    <x:row r="14" ht="50" customHeight="1">
      <x:c r="A14" s="26" t="str">
        <x:v>3× CubeTorquer CR0002</x:v>
      </x:c>
      <x:c r="B14" s="74" t="n">
        <x:v>49.5</x:v>
      </x:c>
      <x:c r="C14" s="74" t="n">
        <x:v>15.54525</x:v>
      </x:c>
      <x:c r="D14" s="26" t="str">
        <x:v>16.5 g y 10.5×10.5×47 mm por unidad.</x:v>
      </x:c>
      <x:c r="E14" s="60" t="n">
        <x:f>B14/$B$5</x:f>
        <x:v>0.02475</x:v>
      </x:c>
      <x:c r="F14" s="60" t="n">
        <x:f>C14/$B$6</x:f>
        <x:v>0.01554525</x:v>
      </x:c>
    </x:row>
    <x:row r="15" ht="50" customHeight="1">
      <x:c r="A15" s="26" t="str">
        <x:v>NanoCom AX100 UHF</x:v>
      </x:c>
      <x:c r="B15" s="74" t="n">
        <x:v>24.5</x:v>
      </x:c>
      <x:c r="C15" s="74" t="n">
        <x:v>16.9</x:v>
      </x:c>
      <x:c r="D15" s="26" t="str">
        <x:v>GomSpace: 24.5 g; 65×40×6.5 mm.</x:v>
      </x:c>
      <x:c r="E15" s="60" t="n">
        <x:f>B15/$B$5</x:f>
        <x:v>0.01225</x:v>
      </x:c>
      <x:c r="F15" s="60" t="n">
        <x:f>C15/$B$6</x:f>
        <x:v>0.0169</x:v>
      </x:c>
    </x:row>
    <x:row r="16" ht="50" customHeight="1">
      <x:c r="A16" s="26" t="str">
        <x:v>PULSAR-HSTX-C S-band</x:v>
      </x:c>
      <x:c r="B16" s="74" t="n">
        <x:v>100</x:v>
      </x:c>
      <x:c r="C16" s="74" t="n">
        <x:v>150.42239999999998</x:v>
      </x:c>
      <x:c r="D16" s="26" t="str">
        <x:v>Conservador: ficha indica &lt;100 g; 96×90×17.41 mm.</x:v>
      </x:c>
      <x:c r="E16" s="60" t="n">
        <x:f>B16/$B$5</x:f>
        <x:v>0.05</x:v>
      </x:c>
      <x:c r="F16" s="60" t="n">
        <x:f>C16/$B$6</x:f>
        <x:v>0.15042239999999998</x:v>
      </x:c>
    </x:row>
    <x:row r="17" ht="50" customHeight="1">
      <x:c r="A17" s="26" t="str">
        <x:v>Antena UHF desplegable</x:v>
      </x:c>
      <x:c r="B17" s="74" t="n">
        <x:v>90</x:v>
      </x:c>
      <x:c r="C17" s="74" t="n">
        <x:v>0</x:v>
      </x:c>
      <x:c r="D17" s="26" t="str">
        <x:v>Ficha actual: &lt;90 g. Montaje en cara exterior; no se suma al volumen interno de este presupuesto.</x:v>
      </x:c>
      <x:c r="E17" s="60" t="n">
        <x:f>B17/$B$5</x:f>
        <x:v>0.045</x:v>
      </x:c>
      <x:c r="F17" s="60" t="n">
        <x:f>C17/$B$6</x:f>
        <x:v>0</x:v>
      </x:c>
    </x:row>
    <x:row r="18">
      <x:c r="A18" s="45" t="str">
        <x:v>Antena S-band patch</x:v>
      </x:c>
      <x:c r="B18" s="77" t="n">
        <x:v>50</x:v>
      </x:c>
      <x:c r="C18" s="77" t="n">
        <x:v>0</x:v>
      </x:c>
      <x:c r="D18" s="45" t="str">
        <x:v>AAC: &lt;50 g, formato de cara 1U. Se considera montaje exterior.</x:v>
      </x:c>
      <x:c r="E18" s="65" t="n">
        <x:f>B18/$B$5</x:f>
        <x:v>0.025</x:v>
      </x:c>
      <x:c r="F18" s="65" t="n">
        <x:f>C18/$B$6</x:f>
        <x:v>0</x:v>
      </x:c>
    </x:row>
    <x:row r="19">
      <x:c r="A19" s="26" t="str">
        <x:v>3× panel solar 1U</x:v>
      </x:c>
      <x:c r="B19" s="74" t="n">
        <x:v>150</x:v>
      </x:c>
      <x:c r="C19" s="74" t="n">
        <x:v>0</x:v>
      </x:c>
      <x:c r="D19" s="26" t="str">
        <x:v>ISISPACE: 50 g por panel 1U. Body-mounted; no se suma al volumen interno.</x:v>
      </x:c>
      <x:c r="E19" s="60" t="n">
        <x:f>B19/$B$5</x:f>
        <x:v>0.075</x:v>
      </x:c>
      <x:c r="F19" s="60" t="n">
        <x:f>C19/$B$6</x:f>
        <x:v>0</x:v>
      </x:c>
    </x:row>
    <x:row r="20">
      <x:c r="A20" s="26" t="str">
        <x:v>Estructura, arnés y margen de integración</x:v>
      </x:c>
      <x:c r="B20" s="74" t="n">
        <x:v>250</x:v>
      </x:c>
      <x:c r="C20" s="74" t="n">
        <x:v>150</x:v>
      </x:c>
      <x:c r="D20" s="26" t="str">
        <x:v>Supuesto preliminar para estructura, cableado, conectores, tornillería y espacio no modelado.</x:v>
      </x:c>
      <x:c r="E20" s="60" t="n">
        <x:f>B20/$B$5</x:f>
        <x:v>0.125</x:v>
      </x:c>
      <x:c r="F20" s="60" t="n">
        <x:f>C20/$B$6</x:f>
        <x:v>0.15</x:v>
      </x:c>
    </x:row>
    <x:row r="21">
      <x:c r="A21" s="26" t="str">
        <x:v>TOTAL</x:v>
      </x:c>
      <x:c r="B21" s="74" t="n">
        <x:f>SUM(B10:B20)</x:f>
        <x:v>1067.1</x:v>
      </x:c>
      <x:c r="C21" s="74" t="n">
        <x:f>SUM(C10:C20)</x:f>
        <x:v>775.39285</x:v>
      </x:c>
      <x:c r="D21" s="26" t="str">
        <x:v>El volumen es una suma preliminar, no un layout 3D.</x:v>
      </x:c>
      <x:c r="E21" s="60" t="n">
        <x:f>B21/$B$5</x:f>
        <x:v>0.53355</x:v>
      </x:c>
      <x:c r="F21" s="60" t="n">
        <x:f>C21/$B$6</x:f>
        <x:v>0.7753928499999999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55" hidden="0" customWidth="1"/>
    <x:col min="3" max="3" width="60" hidden="0" customWidth="1"/>
  </x:cols>
  <x:sheetData>
    <x:row r="1">
      <x:c r="A1" s="19" t="str">
        <x:v>Documento</x:v>
      </x:c>
      <x:c r="B1" s="19" t="str">
        <x:v>Uso principal</x:v>
      </x:c>
      <x:c r="C1" s="19" t="str">
        <x:v>Referencia / URL</x:v>
      </x:c>
    </x:row>
    <x:row r="2" ht="46" customHeight="1">
      <x:c r="A2" s="26" t="str">
        <x:v>Guía Práctica 3 – CubeSat UD34</x:v>
      </x:c>
      <x:c r="B2" s="26" t="str">
        <x:v>Formato de interfaces y presupuestos.</x:v>
      </x:c>
      <x:c r="C2" s="26" t="str">
        <x:v>Documento del profesor.</x:v>
      </x:c>
    </x:row>
    <x:row r="3" ht="46" customHeight="1">
      <x:c r="A3" s="26" t="str">
        <x:v>Proyecto CubeSat UD34 2026-2</x:v>
      </x:c>
      <x:c r="B3" s="26" t="str">
        <x:v>Misión, 1U, seis meses y subsistemas principales.</x:v>
      </x:c>
      <x:c r="C3" s="26" t="str">
        <x:v>Documento del profesor.</x:v>
      </x:c>
    </x:row>
    <x:row r="4" ht="46" customHeight="1">
      <x:c r="A4" s="26" t="str">
        <x:v>MAPIR Survey3N RGN</x:v>
      </x:c>
      <x:c r="B4" s="26" t="str">
        <x:v>Cámara, potencia, tamaño y almacenamiento aproximado.</x:v>
      </x:c>
      <x:c r="C4" s="26" t="str">
        <x:v>https://www.mapir.camera/products/survey3n-camera-red-green-nir-rgn-ndvi</x:v>
      </x:c>
    </x:row>
    <x:row r="5" ht="46" customHeight="1">
      <x:c r="A5" s="26" t="str">
        <x:v>ST STM32H743ZIT6</x:v>
      </x:c>
      <x:c r="B5" s="26" t="str">
        <x:v>OBC, corriente/periféricos.</x:v>
      </x:c>
      <x:c r="C5" s="26" t="str">
        <x:v>https://www.st.com/resource/en/datasheet/stm32h743zi.pdf</x:v>
      </x:c>
    </x:row>
    <x:row r="6" ht="46" customHeight="1">
      <x:c r="A6" s="26" t="str">
        <x:v>SanDisk Industrial XI microSD</x:v>
      </x:c>
      <x:c r="B6" s="26" t="str">
        <x:v>Capacidad, temperatura y rendimiento.</x:v>
      </x:c>
      <x:c r="C6" s="26" t="str">
        <x:v>https://documents.westerndigital.com/content/dam/doc-library/en_us/assets/public/western-digital/product/embedded-flash/industrial-sd-microsd-series/WDC_SanDisk_Industrial_SD_microSD_ProdBrief_020918.pdf</x:v>
      </x:c>
    </x:row>
    <x:row r="7">
      <x:c r="A7" s="26" t="str">
        <x:v>ST ISM330DHCX</x:v>
      </x:c>
      <x:c r="B7" s="26" t="str">
        <x:v>IMU e interfaces.</x:v>
      </x:c>
      <x:c r="C7" s="26" t="str">
        <x:v>https://www.st.com/en/mems-and-sensors/ism330dhcx.html</x:v>
      </x:c>
    </x:row>
    <x:row r="8">
      <x:c r="A8" s="26" t="str">
        <x:v>CubeSpace</x:v>
      </x:c>
      <x:c r="B8" s="26" t="str">
        <x:v>CubeSense, CubeMag y CubeTorquer.</x:v>
      </x:c>
      <x:c r="C8" s="26" t="str">
        <x:v>https://www.cubespace.co.za/uploads/80698cb1-9351-4acb-b521-d69c06500257.pdf</x:v>
      </x:c>
    </x:row>
    <x:row r="9">
      <x:c r="A9" s="26" t="str">
        <x:v>GomSpace NanoCom AX100</x:v>
      </x:c>
      <x:c r="B9" s="26" t="str">
        <x:v>UHF, consumo, masa e interfaces.</x:v>
      </x:c>
      <x:c r="C9" s="26" t="str">
        <x:v>https://gomspace.com/UserFiles/Subsystems/datasheet/gs-ds-nanocom-ax100.pdf</x:v>
      </x:c>
    </x:row>
    <x:row r="10">
      <x:c r="A10" s="26" t="str">
        <x:v>AAC Clyde Space PULSAR-HSTX-C</x:v>
      </x:c>
      <x:c r="B10" s="26" t="str">
        <x:v>S-band, 8 Mbit/s, &lt;5 W y dimensiones.</x:v>
      </x:c>
      <x:c r="C10" s="26" t="str">
        <x:v>https://www.aac-clyde.space/wp-content/uploads/2021/11/AAC_DataSheet_Pulsar-Data.pdf</x:v>
      </x:c>
    </x:row>
    <x:row r="11">
      <x:c r="A11" s="26" t="str">
        <x:v>AAC Clyde Space PULSAR-SANTC</x:v>
      </x:c>
      <x:c r="B11" s="26" t="str">
        <x:v>Antena S-band.</x:v>
      </x:c>
      <x:c r="C11" s="26" t="str">
        <x:v>https://www.aac-clyde.space/what-we-do/space-products-components/communications/pulsar-sant</x:v>
      </x:c>
    </x:row>
    <x:row r="12">
      <x:c r="A12" s="26" t="str">
        <x:v>ISISPACE ICEPS2 Type A</x:v>
      </x:c>
      <x:c r="B12" s="26" t="str">
        <x:v>EPS, batería, consumo estático y buses.</x:v>
      </x:c>
      <x:c r="C12" s="26" t="str">
        <x:v>https://www.isispace.nl/wp-content/uploads/2025/01/ISIS-ICEPS2-DSH-0001-ICEPS2_Datasheet-01_02.pdf</x:v>
      </x:c>
    </x:row>
    <x:row r="13">
      <x:c r="A13" s="26" t="str">
        <x:v>ISISPACE Solar Panels</x:v>
      </x:c>
      <x:c r="B13" s="26" t="str">
        <x:v>Panel 1U; masa/potencia BOL.</x:v>
      </x:c>
      <x:c r="C13" s="26" t="str">
        <x:v>https://www.isispace.nl/wp-content/uploads/2021/08/ISISPACE-Products-brochure-2021.pdf</x:v>
      </x:c>
    </x:row>
    <x:row r="14">
      <x:c r="A14" s="26" t="str">
        <x:v>ISISPACE VHF/UHF Antenna</x:v>
      </x:c>
      <x:c r="B14" s="26" t="str">
        <x:v>Antena UHF desplegable.</x:v>
      </x:c>
      <x:c r="C14" s="26" t="str">
        <x:v>https://www.isispace.nl/product/vhf-uhf-antenna-for-1u-3u/</x:v>
      </x:c>
    </x:row>
    <x:row r="15">
      <x:c r="A15" s="26" t="str">
        <x:v>CubeSat Design Specification Rev. 14.1</x:v>
      </x:c>
      <x:c r="B15" s="26" t="str">
        <x:v>Masa típica 1U y restricciones de integración.</x:v>
      </x:c>
      <x:c r="C15" s="26" t="str">
        <x:v>http://www.cubesat.org/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8" hidden="0" customWidth="1"/>
    <x:col min="3" max="3" width="36" hidden="0" customWidth="1"/>
    <x:col min="4" max="4" width="28" hidden="0" customWidth="1"/>
    <x:col min="5" max="5" width="28" hidden="0" customWidth="1"/>
    <x:col min="6" max="6" width="28" hidden="0" customWidth="1"/>
    <x:col min="7" max="7" width="30" hidden="0" customWidth="1"/>
    <x:col min="8" max="8" width="60" hidden="0" customWidth="1"/>
  </x:cols>
  <x:sheetData>
    <x:row r="1">
      <x:c r="A1" s="86" t="str">
        <x:v>COMPONENTES DE REFERENCIA PARA DIMENSIONAMIENTO</x:v>
      </x:c>
      <x:c r="B1" s="86"/>
      <x:c r="C1" s="86"/>
      <x:c r="D1" s="86"/>
      <x:c r="E1" s="86"/>
      <x:c r="F1" s="86"/>
      <x:c r="G1" s="86"/>
      <x:c r="H1" s="86"/>
    </x:row>
    <x:row r="2">
      <x:c r="A2" s="26" t="str">
        <x:v>Estos elementos sirven para cerrar presupuestos e interfaces en Práctica 3. No constituyen una BOM definitiva del esquemático.</x:v>
      </x:c>
      <x:c r="B2" s="26"/>
      <x:c r="C2" s="26"/>
      <x:c r="D2" s="26"/>
      <x:c r="E2" s="26"/>
      <x:c r="F2" s="26"/>
      <x:c r="G2" s="26"/>
      <x:c r="H2" s="26"/>
    </x:row>
    <x:row r="3">
      <x:c r="A3" s="26"/>
      <x:c r="B3" s="26"/>
      <x:c r="C3" s="26"/>
      <x:c r="D3" s="26"/>
      <x:c r="E3" s="26"/>
      <x:c r="F3" s="26"/>
      <x:c r="G3" s="26"/>
      <x:c r="H3" s="26"/>
    </x:row>
    <x:row r="4">
      <x:c r="A4" s="87" t="str">
        <x:v>Subsistema</x:v>
      </x:c>
      <x:c r="B4" s="87" t="str">
        <x:v>Referencia</x:v>
      </x:c>
      <x:c r="C4" s="87" t="str">
        <x:v>Dato principal</x:v>
      </x:c>
      <x:c r="D4" s="87" t="str">
        <x:v>Masa / tamaño</x:v>
      </x:c>
      <x:c r="E4" s="87" t="str">
        <x:v>Potencia</x:v>
      </x:c>
      <x:c r="F4" s="87" t="str">
        <x:v>Interfaz</x:v>
      </x:c>
      <x:c r="G4" s="87" t="str">
        <x:v>Uso en arquitectura</x:v>
      </x:c>
      <x:c r="H4" s="87" t="str">
        <x:v>Fuente oficial</x:v>
      </x:c>
    </x:row>
    <x:row r="5">
      <x:c r="A5" s="26" t="str">
        <x:v>Carga útil</x:v>
      </x:c>
      <x:c r="B5" s="26" t="str">
        <x:v>MAPIR Survey3N RGN Narrow</x:v>
      </x:c>
      <x:c r="C5" s="26" t="str">
        <x:v>4000×3000; RAW 12 bits; R/G/NIR</x:v>
      </x:c>
      <x:c r="D5" s="26" t="str">
        <x:v>50 g; 59×41.5×36 mm</x:v>
      </x:c>
      <x:c r="E5" s="26" t="str">
        <x:v>1.56 W idle; 1.72 W captura</x:v>
      </x:c>
      <x:c r="F5" s="26" t="str">
        <x:v>PWM + USB</x:v>
      </x:c>
      <x:c r="G5" s="26" t="str">
        <x:v>Cámara multiespectral</x:v>
      </x:c>
      <x:c r="H5" s="26" t="str">
        <x:v>https://www.mapir.camera/products/survey3n-camera-red-green-nir-rgn-ndvi</x:v>
      </x:c>
    </x:row>
    <x:row r="6">
      <x:c r="A6" s="26" t="str">
        <x:v>OBC</x:v>
      </x:c>
      <x:c r="B6" s="26" t="str">
        <x:v>STM32H743ZIT6</x:v>
      </x:c>
      <x:c r="C6" s="26" t="str">
        <x:v>Cortex-M7 480 MHz; 2 MB Flash; 1 MB RAM</x:v>
      </x:c>
      <x:c r="D6" s="26" t="str">
        <x:v>LQFP144 20×20 mm</x:v>
      </x:c>
      <x:c r="E6" s="26" t="str">
        <x:v>≈0.35 W orden típico del MCU; presupuesto PCB=0.4 W</x:v>
      </x:c>
      <x:c r="F6" s="26" t="str">
        <x:v>USB, SDMMC, SPI, I²C, UART, CAN</x:v>
      </x:c>
      <x:c r="G6" s="26" t="str">
        <x:v>Procesamiento PCB2</x:v>
      </x:c>
      <x:c r="H6" s="26" t="str">
        <x:v>https://www.st.com/en/microcontrollers-microprocessors/stm32h743zi.html</x:v>
      </x:c>
    </x:row>
    <x:row r="7">
      <x:c r="A7" s="26" t="str">
        <x:v>Almacenamiento</x:v>
      </x:c>
      <x:c r="B7" s="26" t="str">
        <x:v>SanDisk Industrial XI 64 GB</x:v>
      </x:c>
      <x:c r="C7" s="26" t="str">
        <x:v>SDSDQAF3-064G-XI; -40 a 85 °C</x:v>
      </x:c>
      <x:c r="D7" s="26" t="str">
        <x:v>microSD</x:v>
      </x:c>
      <x:c r="E7" s="26" t="str">
        <x:v>Depende de operación</x:v>
      </x:c>
      <x:c r="F7" s="26" t="str">
        <x:v>SD/UHS-I</x:v>
      </x:c>
      <x:c r="G7" s="26" t="str">
        <x:v>Imágenes + telemetría</x:v>
      </x:c>
      <x:c r="H7" s="26" t="str">
        <x:v>https://documents.westerndigital.com/content/dam/doc-library/en_us/assets/public/western-digital/product/embedded-flash/industrial-sd-microsd-series/WDC_SanDisk_Industrial_SD_microSD_ProdBrief_020918.pdf</x:v>
      </x:c>
    </x:row>
    <x:row r="8">
      <x:c r="A8" s="26" t="str">
        <x:v>IMU</x:v>
      </x:c>
      <x:c r="B8" s="26" t="str">
        <x:v>ST ISM330DHCX</x:v>
      </x:c>
      <x:c r="C8" s="26" t="str">
        <x:v>Acelerómetro+giróscopo 3 ejes</x:v>
      </x:c>
      <x:c r="D8" s="26" t="str">
        <x:v>2.5×3×0.86 mm</x:v>
      </x:c>
      <x:c r="E8" s="26" t="str">
        <x:v>~1.2 mA combo</x:v>
      </x:c>
      <x:c r="F8" s="26" t="str">
        <x:v>SPI/I²C</x:v>
      </x:c>
      <x:c r="G8" s="26" t="str">
        <x:v>Velocidad angular/aceleración</x:v>
      </x:c>
      <x:c r="H8" s="26" t="str">
        <x:v>https://www.st.com/en/mems-and-sensors/ism330dhcx.html</x:v>
      </x:c>
    </x:row>
    <x:row r="9">
      <x:c r="A9" s="26" t="str">
        <x:v>Sensor solar</x:v>
      </x:c>
      <x:c r="B9" s="26" t="str">
        <x:v>CubeSense Sun</x:v>
      </x:c>
      <x:c r="C9" s="26" t="str">
        <x:v>Precisión ~0.2°</x:v>
      </x:c>
      <x:c r="D9" s="26" t="str">
        <x:v>15 g; 35×24×22 mm</x:v>
      </x:c>
      <x:c r="E9" s="26" t="str">
        <x:v>100 mW avg</x:v>
      </x:c>
      <x:c r="F9" s="26" t="str">
        <x:v>CAN/RS485/UART/I²C</x:v>
      </x:c>
      <x:c r="G9" s="26" t="str">
        <x:v>Vector solar</x:v>
      </x:c>
      <x:c r="H9" s="26" t="str">
        <x:v>https://www.cubespace.co.za/uploads/80698cb1-9351-4acb-b521-d69c06500257.pdf</x:v>
      </x:c>
    </x:row>
    <x:row r="10">
      <x:c r="A10" s="26" t="str">
        <x:v>Sensor Tierra</x:v>
      </x:c>
      <x:c r="B10" s="26" t="str">
        <x:v>CubeSense Earth</x:v>
      </x:c>
      <x:c r="C10" s="26" t="str">
        <x:v>Precisión ~1°</x:v>
      </x:c>
      <x:c r="D10" s="26" t="str">
        <x:v>18 g; 35×24×20 mm</x:v>
      </x:c>
      <x:c r="E10" s="26" t="str">
        <x:v>200 mW avg</x:v>
      </x:c>
      <x:c r="F10" s="26" t="str">
        <x:v>CAN/RS485/UART</x:v>
      </x:c>
      <x:c r="G10" s="26" t="str">
        <x:v>Vector nadir/horizonte</x:v>
      </x:c>
      <x:c r="H10" s="26" t="str">
        <x:v>https://www.cubespace.co.za/uploads/80698cb1-9351-4acb-b521-d69c06500257.pdf</x:v>
      </x:c>
    </x:row>
    <x:row r="11">
      <x:c r="A11" s="26" t="str">
        <x:v>Magnetómetro</x:v>
      </x:c>
      <x:c r="B11" s="26" t="str">
        <x:v>CubeMag Compact</x:v>
      </x:c>
      <x:c r="C11" s="26" t="str">
        <x:v>±8 G</x:v>
      </x:c>
      <x:c r="D11" s="26" t="str">
        <x:v>6 g; 24×24×7.8 mm</x:v>
      </x:c>
      <x:c r="E11" s="26" t="str">
        <x:v>50 mW avg</x:v>
      </x:c>
      <x:c r="F11" s="26" t="str">
        <x:v>CAN/RS485/UART/I²C</x:v>
      </x:c>
      <x:c r="G11" s="26" t="str">
        <x:v>Campo magnético</x:v>
      </x:c>
      <x:c r="H11" s="26" t="str">
        <x:v>https://www.cubespace.co.za/uploads/9500bbef-0880-422b-bc69-5135da6a4413.pdf</x:v>
      </x:c>
    </x:row>
    <x:row r="12">
      <x:c r="A12" s="26" t="str">
        <x:v>Actuadores ADCS</x:v>
      </x:c>
      <x:c r="B12" s="26" t="str">
        <x:v>3× CubeTorquer CR0002</x:v>
      </x:c>
      <x:c r="C12" s="26" t="str">
        <x:v>0.2 A·m² @5 V</x:v>
      </x:c>
      <x:c r="D12" s="26" t="str">
        <x:v>16.5 g c/u; 10.5×10.5×47 mm</x:v>
      </x:c>
      <x:c r="E12" s="26" t="str">
        <x:v>~0.49 W c/u a 5 V</x:v>
      </x:c>
      <x:c r="F12" s="26" t="str">
        <x:v>PWM + H-bridge</x:v>
      </x:c>
      <x:c r="G12" s="26" t="str">
        <x:v>Detumbling/control magnético</x:v>
      </x:c>
      <x:c r="H12" s="26" t="str">
        <x:v>https://www.cubespace.co.za/uploads/d3ecdd54-cfc4-4a18-89e5-e7e033a42b66.pdf</x:v>
      </x:c>
    </x:row>
    <x:row r="13">
      <x:c r="A13" s="26" t="str">
        <x:v>TT&amp;C</x:v>
      </x:c>
      <x:c r="B13" s="26" t="str">
        <x:v>NanoCom AX100 UHF</x:v>
      </x:c>
      <x:c r="C13" s="26" t="str">
        <x:v>430–440 MHz; hasta 38.4 kbit/s</x:v>
      </x:c>
      <x:c r="D13" s="26" t="str">
        <x:v>24.5 g; 65×40×6.5 mm</x:v>
      </x:c>
      <x:c r="E13" s="26" t="str">
        <x:v>0.182 W RX typ; hasta 3.3 W extremo TX</x:v>
      </x:c>
      <x:c r="F13" s="26" t="str">
        <x:v>CAN/I²C/UART + RF</x:v>
      </x:c>
      <x:c r="G13" s="26" t="str">
        <x:v>Comandos + telemetría</x:v>
      </x:c>
      <x:c r="H13" s="26" t="str">
        <x:v>https://gomspace.com/product/nanocom-ax100/</x:v>
      </x:c>
    </x:row>
    <x:row r="14">
      <x:c r="A14" s="26" t="str">
        <x:v>Downlink imágenes</x:v>
      </x:c>
      <x:c r="B14" s="26" t="str">
        <x:v>PULSAR-HSTX-C</x:v>
      </x:c>
      <x:c r="C14" s="26" t="str">
        <x:v>2.2–2.3 GHz; 8 Mbit/s de referencia</x:v>
      </x:c>
      <x:c r="D14" s="26" t="str">
        <x:v>&lt;100 g; 96×90×17.41 mm</x:v>
      </x:c>
      <x:c r="E14" s="26" t="str">
        <x:v>&lt;5 W</x:v>
      </x:c>
      <x:c r="F14" s="26" t="str">
        <x:v>I²C + SPI + RF 50 Ω</x:v>
      </x:c>
      <x:c r="G14" s="26" t="str">
        <x:v>Imágenes</x:v>
      </x:c>
      <x:c r="H14" s="26" t="str">
        <x:v>https://www.aac-clyde.space/wp-content/uploads/2021/11/AAC_DataSheet_Pulsar-Data.pdf</x:v>
      </x:c>
    </x:row>
    <x:row r="15">
      <x:c r="A15" s="26" t="str">
        <x:v>Antena UHF</x:v>
      </x:c>
      <x:c r="B15" s="26" t="str">
        <x:v>ISISPACE VHF/UHF 1U-3U</x:v>
      </x:c>
      <x:c r="C15" s="26" t="str">
        <x:v>UHF compatible 430–440 MHz</x:v>
      </x:c>
      <x:c r="D15" s="26" t="str">
        <x:v>&lt;90 g; 98×98×7 mm</x:v>
      </x:c>
      <x:c r="E15" s="26" t="str">
        <x:v>&lt;40 mW nominal; 2 W despliegue</x:v>
      </x:c>
      <x:c r="F15" s="26" t="str">
        <x:v>RF 50 Ω + I²C</x:v>
      </x:c>
      <x:c r="G15" s="26" t="str">
        <x:v>TT&amp;C</x:v>
      </x:c>
      <x:c r="H15" s="26" t="str">
        <x:v>https://www.isispace.nl/product/vhf-uhf-antenna-for-1u-3u/</x:v>
      </x:c>
    </x:row>
    <x:row r="16">
      <x:c r="A16" s="26" t="str">
        <x:v>Antena S-band</x:v>
      </x:c>
      <x:c r="B16" s="26" t="str">
        <x:v>AAC PULSAR-SANTC</x:v>
      </x:c>
      <x:c r="C16" s="26" t="str">
        <x:v>2.2–2.3 GHz; ~7 dBi</x:v>
      </x:c>
      <x:c r="D16" s="26" t="str">
        <x:v>&lt;50 g; 1U</x:v>
      </x:c>
      <x:c r="E16" s="26" t="str">
        <x:v>Pasiva</x:v>
      </x:c>
      <x:c r="F16" s="26" t="str">
        <x:v>SMA 50 Ω</x:v>
      </x:c>
      <x:c r="G16" s="26" t="str">
        <x:v>Downlink imágenes</x:v>
      </x:c>
      <x:c r="H16" s="26" t="str">
        <x:v>https://www.aac-clyde.space/what-we-do/space-products-components/communications/pulsar-sant</x:v>
      </x:c>
    </x:row>
    <x:row r="17">
      <x:c r="A17" s="26" t="str">
        <x:v>EPS+batería</x:v>
      </x:c>
      <x:c r="B17" s="26" t="str">
        <x:v>ISISPACE ICEPS2 Type A</x:v>
      </x:c>
      <x:c r="C17" s="26" t="str">
        <x:v>3 MPPT; 3.3 V/5 V/batería; 22.5 Wh</x:v>
      </x:c>
      <x:c r="D17" s="26" t="str">
        <x:v>184±5 g; 96×92×26.45 mm</x:v>
      </x:c>
      <x:c r="E17" s="26" t="str">
        <x:v>93 mW idle</x:v>
      </x:c>
      <x:c r="F17" s="26" t="str">
        <x:v>I²C + potencia</x:v>
      </x:c>
      <x:c r="G17" s="26" t="str">
        <x:v>PCB1 + batería</x:v>
      </x:c>
      <x:c r="H17" s="26" t="str">
        <x:v>https://www.isispace.nl/product/compact-electrical-power-system/</x:v>
      </x:c>
    </x:row>
    <x:row r="18">
      <x:c r="A18" s="26" t="str">
        <x:v>Generación</x:v>
      </x:c>
      <x:c r="B18" s="26" t="str">
        <x:v>3× ISISPACE panel 1U</x:v>
      </x:c>
      <x:c r="C18" s="26" t="str">
        <x:v>~2.3 W BOL por panel</x:v>
      </x:c>
      <x:c r="D18" s="26" t="str">
        <x:v>50 g c/u</x:v>
      </x:c>
      <x:c r="E18" s="26" t="str">
        <x:v>Generación</x:v>
      </x:c>
      <x:c r="F18" s="26" t="str">
        <x:v>DC</x:v>
      </x:c>
      <x:c r="G18" s="26" t="str">
        <x:v>Tres caras body-mounted</x:v>
      </x:c>
      <x:c r="H18" s="26" t="str">
        <x:v>https://www.isispace.nl/wp-content/uploads/2021/08/ISISPACE-Products-brochure-2021.pdf</x:v>
      </x:c>
    </x:row>
  </x:sheetData>
  <x:mergeCells>
    <x:mergeCell ref="A1:H1"/>
    <x:mergeCell ref="A2:H2"/>
  </x:mergeCells>
  <x:pageMargins left="0.7" right="0.7" top="0.75" bottom="0.75" header="0.3" footer="0.3"/>
</x:worksheet>
</file>